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fresco\19F(6li,d)\"/>
    </mc:Choice>
  </mc:AlternateContent>
  <xr:revisionPtr revIDLastSave="0" documentId="13_ncr:1_{48367479-F31E-44E2-8C1A-6BF75ED3F03F}" xr6:coauthVersionLast="36" xr6:coauthVersionMax="36" xr10:uidLastSave="{00000000-0000-0000-0000-000000000000}"/>
  <bookViews>
    <workbookView xWindow="0" yWindow="0" windowWidth="22260" windowHeight="12650" activeTab="4" xr2:uid="{00000000-000D-0000-FFFF-FFFF00000000}"/>
  </bookViews>
  <sheets>
    <sheet name="6Li_19F" sheetId="1" r:id="rId1"/>
    <sheet name="d_23Na" sheetId="3" r:id="rId2"/>
    <sheet name="19F(6Li,d)" sheetId="4" r:id="rId3"/>
    <sheet name="束缚系统" sheetId="5" r:id="rId4"/>
    <sheet name="alpha_19F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5" i="3" l="1"/>
  <c r="Q4" i="3"/>
  <c r="Q3" i="3"/>
  <c r="R7" i="5" l="1"/>
  <c r="X4" i="4" l="1"/>
  <c r="X5" i="4"/>
  <c r="X6" i="4"/>
  <c r="X7" i="4"/>
  <c r="X8" i="4"/>
  <c r="X9" i="4"/>
  <c r="U4" i="4"/>
  <c r="U5" i="4"/>
  <c r="U6" i="4"/>
  <c r="U7" i="4"/>
  <c r="U8" i="4"/>
  <c r="U9" i="4"/>
  <c r="R4" i="4"/>
  <c r="R5" i="4"/>
  <c r="R6" i="4"/>
  <c r="R7" i="4"/>
  <c r="R8" i="4"/>
  <c r="R9" i="4"/>
  <c r="O4" i="4"/>
  <c r="O5" i="4"/>
  <c r="O6" i="4"/>
  <c r="O7" i="4"/>
  <c r="O8" i="4"/>
  <c r="O9" i="4"/>
  <c r="L4" i="4"/>
  <c r="L5" i="4"/>
  <c r="L6" i="4"/>
  <c r="L7" i="4"/>
  <c r="L8" i="4"/>
  <c r="L9" i="4"/>
  <c r="X3" i="4"/>
  <c r="U3" i="4"/>
  <c r="R3" i="4"/>
  <c r="O3" i="4"/>
  <c r="L3" i="4"/>
  <c r="X1" i="4"/>
  <c r="U1" i="4"/>
  <c r="R1" i="4"/>
  <c r="O1" i="4"/>
  <c r="L1" i="4"/>
  <c r="I4" i="4"/>
  <c r="I5" i="4"/>
  <c r="I6" i="4"/>
  <c r="I7" i="4"/>
  <c r="I8" i="4"/>
  <c r="I9" i="4"/>
  <c r="I3" i="4"/>
  <c r="F4" i="4"/>
  <c r="F5" i="4"/>
  <c r="F6" i="4"/>
  <c r="F7" i="4"/>
  <c r="F8" i="4"/>
  <c r="F9" i="4"/>
  <c r="F3" i="4"/>
  <c r="C4" i="4"/>
  <c r="C5" i="4"/>
  <c r="C6" i="4"/>
  <c r="C7" i="4"/>
  <c r="C8" i="4"/>
  <c r="C9" i="4"/>
  <c r="C3" i="4"/>
  <c r="I1" i="4"/>
  <c r="F1" i="4"/>
  <c r="C1" i="4"/>
  <c r="C13" i="1" l="1"/>
  <c r="C14" i="1"/>
  <c r="C15" i="1" l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G3" i="1" l="1"/>
  <c r="G4" i="1"/>
  <c r="G5" i="1"/>
  <c r="G2" i="1"/>
  <c r="F3" i="1"/>
  <c r="F4" i="1"/>
  <c r="F5" i="1"/>
  <c r="F2" i="1"/>
</calcChain>
</file>

<file path=xl/sharedStrings.xml><?xml version="1.0" encoding="utf-8"?>
<sst xmlns="http://schemas.openxmlformats.org/spreadsheetml/2006/main" count="147" uniqueCount="107">
  <si>
    <t>sigma_e</t>
    <phoneticPr fontId="1" type="noConversion"/>
  </si>
  <si>
    <t>sigma_R</t>
    <phoneticPr fontId="1" type="noConversion"/>
  </si>
  <si>
    <t>dse</t>
    <phoneticPr fontId="1" type="noConversion"/>
  </si>
  <si>
    <t>dsR</t>
    <phoneticPr fontId="1" type="noConversion"/>
  </si>
  <si>
    <t>se/sR</t>
    <phoneticPr fontId="1" type="noConversion"/>
  </si>
  <si>
    <t>dse/sR</t>
    <phoneticPr fontId="1" type="noConversion"/>
  </si>
  <si>
    <t>--------------------</t>
  </si>
  <si>
    <t>Optimized Optical Potential Parameters:</t>
  </si>
  <si>
    <t>theta_lab</t>
    <phoneticPr fontId="1" type="noConversion"/>
  </si>
  <si>
    <t>theta_cm</t>
    <phoneticPr fontId="1" type="noConversion"/>
  </si>
  <si>
    <t>se/sr</t>
    <phoneticPr fontId="1" type="noConversion"/>
  </si>
  <si>
    <t>dse/sR</t>
    <phoneticPr fontId="1" type="noConversion"/>
  </si>
  <si>
    <t>Final Chi2: 2.0532</t>
  </si>
  <si>
    <t>V (Real Vol)   : 35.1669</t>
  </si>
  <si>
    <t>r0             : 1.3509</t>
  </si>
  <si>
    <t>a0             : 0.5391</t>
  </si>
  <si>
    <t>W (Surf Imag)  : 19.4478</t>
  </si>
  <si>
    <t>rw             : 1.5058</t>
  </si>
  <si>
    <t>aw             : 0.4028</t>
  </si>
  <si>
    <t>========================================</t>
  </si>
  <si>
    <t>采用SPP势进行拟合，得到结果：</t>
    <phoneticPr fontId="1" type="noConversion"/>
  </si>
  <si>
    <t>Fit Finished! Final Chi2: 20.1307</t>
  </si>
  <si>
    <t>Optimized Real Potential Parameters:</t>
  </si>
  <si>
    <t xml:space="preserve">  V (Depth) : 40.0123 MeV</t>
  </si>
  <si>
    <t xml:space="preserve">  r0 (Rad)  : 1.0010 fm</t>
  </si>
  <si>
    <t xml:space="preserve">  a0 (Diff) : 0.8835 fm</t>
  </si>
  <si>
    <t>Fixed Imaginary Parameters (Zamora 2022):</t>
  </si>
  <si>
    <t xml:space="preserve">  W=19.0, r=1.23, a=0.97</t>
  </si>
  <si>
    <t>更改为深势井</t>
    <phoneticPr fontId="1" type="noConversion"/>
  </si>
  <si>
    <t>Fit Finished! Final Chi2: 24.8958</t>
  </si>
  <si>
    <t xml:space="preserve">  V (Depth) : 265.8358 MeV</t>
  </si>
  <si>
    <t xml:space="preserve">  r0 (Rad)  : 1.0002 fm</t>
  </si>
  <si>
    <t xml:space="preserve">  a0 (Diff) : 0.6924 fm</t>
  </si>
  <si>
    <t>Optimization Finished!</t>
  </si>
  <si>
    <t>Final Log-Chi2: 1.5140</t>
  </si>
  <si>
    <t>Parameter  Initial    Fitted</t>
  </si>
  <si>
    <t>V_r        262.08     278.82</t>
  </si>
  <si>
    <t>W_s        26.87      30.12</t>
  </si>
  <si>
    <t>W_v        1.00       13.47</t>
  </si>
  <si>
    <t>全局参数改进</t>
    <phoneticPr fontId="1" type="noConversion"/>
  </si>
  <si>
    <t>参数类型</t>
  </si>
  <si>
    <t>深度 (MeV)</t>
  </si>
  <si>
    <t>约化半径 r0​ (fm)</t>
  </si>
  <si>
    <t>扩散率 a (fm)</t>
  </si>
  <si>
    <r>
      <t>实部中心势</t>
    </r>
    <r>
      <rPr>
        <sz val="11"/>
        <color theme="1"/>
        <rFont val="Arial"/>
        <family val="2"/>
      </rPr>
      <t xml:space="preserve"> (Real Central)</t>
    </r>
  </si>
  <si>
    <r>
      <t>虚部表面势</t>
    </r>
    <r>
      <rPr>
        <sz val="11"/>
        <color theme="1"/>
        <rFont val="Arial"/>
        <family val="2"/>
      </rPr>
      <t xml:space="preserve"> (Imaginary Surface)</t>
    </r>
  </si>
  <si>
    <r>
      <t>虚部体积势</t>
    </r>
    <r>
      <rPr>
        <sz val="11"/>
        <color theme="1"/>
        <rFont val="Arial"/>
        <family val="2"/>
      </rPr>
      <t xml:space="preserve"> (Imaginary Volume)</t>
    </r>
  </si>
  <si>
    <r>
      <t>实部自旋-轨道</t>
    </r>
    <r>
      <rPr>
        <sz val="11"/>
        <color theme="1"/>
        <rFont val="Arial"/>
        <family val="2"/>
      </rPr>
      <t xml:space="preserve"> (Real Spin-Orbit)</t>
    </r>
  </si>
  <si>
    <r>
      <t>虚部自旋-轨道</t>
    </r>
    <r>
      <rPr>
        <sz val="11"/>
        <color theme="1"/>
        <rFont val="Arial"/>
        <family val="2"/>
      </rPr>
      <t xml:space="preserve"> (Imag. Spin-Orbit)</t>
    </r>
  </si>
  <si>
    <r>
      <t>库仑势</t>
    </r>
    <r>
      <rPr>
        <sz val="11"/>
        <color theme="1"/>
        <rFont val="Arial"/>
        <family val="2"/>
      </rPr>
      <t xml:space="preserve"> (Coulomb)</t>
    </r>
  </si>
  <si>
    <t>-</t>
  </si>
  <si>
    <r>
      <t xml:space="preserve">Alrayashi, W. S. Coupled-Channels Analysis and Optical Model Potential Extraction for Deuteron Scattering From 6Li to 208Pb. </t>
    </r>
    <r>
      <rPr>
        <u/>
        <sz val="11"/>
        <color theme="10"/>
        <rFont val="等线"/>
        <family val="3"/>
        <charset val="134"/>
        <scheme val="minor"/>
      </rPr>
      <t>East European Journal of Physics 50–68 (2025) doi:10.26565/2312-4334-2025-3-05.</t>
    </r>
  </si>
  <si>
    <r>
      <rPr>
        <sz val="11"/>
        <color theme="1"/>
        <rFont val="等线"/>
        <family val="2"/>
      </rPr>
      <t>使用耦合道光学势方法，自</t>
    </r>
    <r>
      <rPr>
        <sz val="11"/>
        <color theme="1"/>
        <rFont val="Arial"/>
        <family val="2"/>
      </rPr>
      <t xml:space="preserve">24Mg </t>
    </r>
    <r>
      <rPr>
        <sz val="11"/>
        <color theme="1"/>
        <rFont val="等线"/>
        <family val="2"/>
      </rPr>
      <t>的基态（</t>
    </r>
    <r>
      <rPr>
        <sz val="11"/>
        <color theme="1"/>
        <rFont val="Arial"/>
        <family val="2"/>
      </rPr>
      <t>0+</t>
    </r>
    <r>
      <rPr>
        <sz val="11"/>
        <color theme="1"/>
        <rFont val="等线"/>
        <family val="2"/>
      </rPr>
      <t>）和激发态（</t>
    </r>
    <r>
      <rPr>
        <sz val="11"/>
        <color theme="1"/>
        <rFont val="Arial"/>
        <family val="2"/>
      </rPr>
      <t>2+</t>
    </r>
    <r>
      <rPr>
        <sz val="11"/>
        <color theme="1"/>
        <rFont val="等线"/>
        <family val="2"/>
      </rPr>
      <t>）得到</t>
    </r>
    <phoneticPr fontId="1" type="noConversion"/>
  </si>
  <si>
    <t>四极形变参数 (用于耦合通道计算)</t>
  </si>
  <si>
    <t>$\beta_2$</t>
  </si>
  <si>
    <t>形变参数</t>
  </si>
  <si>
    <t>扩散参数</t>
  </si>
  <si>
    <t>fm</t>
  </si>
  <si>
    <t>aso</t>
    <phoneticPr fontId="1" type="noConversion"/>
  </si>
  <si>
    <r>
      <t xml:space="preserve">An, H. &amp; Cai, C. Global deuteron optical model potential for the energy range up to 183 MeV. </t>
    </r>
    <r>
      <rPr>
        <i/>
        <sz val="11"/>
        <color theme="1"/>
        <rFont val="等线"/>
        <family val="3"/>
        <charset val="134"/>
        <scheme val="minor"/>
      </rPr>
      <t>Phys. Rev. C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theme="1"/>
        <rFont val="等线"/>
        <family val="3"/>
        <charset val="134"/>
        <scheme val="minor"/>
      </rPr>
      <t>73</t>
    </r>
    <r>
      <rPr>
        <sz val="11"/>
        <color theme="1"/>
        <rFont val="等线"/>
        <family val="2"/>
        <scheme val="minor"/>
      </rPr>
      <t>, 054605 (2006).</t>
    </r>
  </si>
  <si>
    <r>
      <t xml:space="preserve">Bojowald, J. </t>
    </r>
    <r>
      <rPr>
        <i/>
        <sz val="11"/>
        <color theme="1"/>
        <rFont val="等线"/>
        <family val="3"/>
        <charset val="134"/>
        <scheme val="minor"/>
      </rPr>
      <t>et al.</t>
    </r>
    <r>
      <rPr>
        <sz val="11"/>
        <color theme="1"/>
        <rFont val="等线"/>
        <family val="2"/>
        <scheme val="minor"/>
      </rPr>
      <t xml:space="preserve"> Elastic deuteron scattering and optical model parameters at energies up to 100 MeV. </t>
    </r>
    <r>
      <rPr>
        <i/>
        <sz val="11"/>
        <color theme="1"/>
        <rFont val="等线"/>
        <family val="3"/>
        <charset val="134"/>
        <scheme val="minor"/>
      </rPr>
      <t>Phys. Rev. C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theme="1"/>
        <rFont val="等线"/>
        <family val="3"/>
        <charset val="134"/>
        <scheme val="minor"/>
      </rPr>
      <t>38</t>
    </r>
    <r>
      <rPr>
        <sz val="11"/>
        <color theme="1"/>
        <rFont val="等线"/>
        <family val="2"/>
        <scheme val="minor"/>
      </rPr>
      <t>, 1153–1163 (1988).</t>
    </r>
  </si>
  <si>
    <t>约化半径</t>
  </si>
  <si>
    <t>rso</t>
    <phoneticPr fontId="1" type="noConversion"/>
  </si>
  <si>
    <t>(Spin-Orbit)</t>
  </si>
  <si>
    <t>实部自旋轨道势深度</t>
  </si>
  <si>
    <t>MeV</t>
  </si>
  <si>
    <t>Vso</t>
    <phoneticPr fontId="1" type="noConversion"/>
  </si>
  <si>
    <t>自旋轨道耦合势</t>
  </si>
  <si>
    <r>
      <t>约化半径 (rc​)</t>
    </r>
    <r>
      <rPr>
        <sz val="11"/>
        <color theme="1"/>
        <rFont val="等线"/>
        <family val="2"/>
        <scheme val="minor"/>
      </rPr>
      <t xml:space="preserve">: </t>
    </r>
    <r>
      <rPr>
        <b/>
        <sz val="11"/>
        <color theme="1"/>
        <rFont val="等线"/>
        <family val="3"/>
        <charset val="134"/>
        <scheme val="minor"/>
      </rPr>
      <t>1.30 fm</t>
    </r>
    <r>
      <rPr>
        <sz val="11"/>
        <color theme="1"/>
        <rFont val="等线"/>
        <family val="2"/>
        <scheme val="minor"/>
      </rPr>
      <t xml:space="preserve"> </t>
    </r>
  </si>
  <si>
    <t>as</t>
    <phoneticPr fontId="1" type="noConversion"/>
  </si>
  <si>
    <r>
      <t>自旋轨道势</t>
    </r>
    <r>
      <rPr>
        <sz val="11"/>
        <color theme="1"/>
        <rFont val="Arial"/>
        <family val="2"/>
      </rPr>
      <t xml:space="preserve"> (Real Spin-Orbit)</t>
    </r>
  </si>
  <si>
    <t>$0.89$</t>
  </si>
  <si>
    <t>$V_{SO} = 6.0$</t>
  </si>
  <si>
    <t>rs</t>
    <phoneticPr fontId="1" type="noConversion"/>
  </si>
  <si>
    <t>(Surface Imaginary)</t>
  </si>
  <si>
    <t xml:space="preserve">Wv​=1.104+0.0622Ed​ </t>
  </si>
  <si>
    <r>
      <t>虚部体积势</t>
    </r>
    <r>
      <rPr>
        <sz val="11"/>
        <color theme="1"/>
        <rFont val="Arial"/>
        <family val="2"/>
      </rPr>
      <t xml:space="preserve"> (Volume Imaginary)</t>
    </r>
  </si>
  <si>
    <t>$0.83$</t>
  </si>
  <si>
    <t>$1.27$</t>
  </si>
  <si>
    <t>$W_V = 0.0$</t>
  </si>
  <si>
    <t>表面吸收势深度 (Derivative Woods-Saxon)</t>
  </si>
  <si>
    <t>Ws</t>
    <phoneticPr fontId="1" type="noConversion"/>
  </si>
  <si>
    <t>虚部表面势</t>
  </si>
  <si>
    <t>Ws​=10.83−0.0306Ed​</t>
  </si>
  <si>
    <r>
      <t>虚部表面势</t>
    </r>
    <r>
      <rPr>
        <sz val="11"/>
        <color theme="1"/>
        <rFont val="Arial"/>
        <family val="2"/>
      </rPr>
      <t xml:space="preserve"> (Surface Imaginary)</t>
    </r>
  </si>
  <si>
    <t>$W_D = 10.8$</t>
  </si>
  <si>
    <t>a</t>
    <phoneticPr fontId="1" type="noConversion"/>
  </si>
  <si>
    <t>V=91.85−0.249Ed​+0.000116Ed2​+0.642(Z/A1/3)</t>
  </si>
  <si>
    <t>$0.74$</t>
  </si>
  <si>
    <t>$1.18$</t>
  </si>
  <si>
    <t>$V = 84.0$</t>
  </si>
  <si>
    <t>约化半径 ($R = r A^{1/3}$)</t>
  </si>
  <si>
    <t>r</t>
    <phoneticPr fontId="1" type="noConversion"/>
  </si>
  <si>
    <t>(Real Central)</t>
  </si>
  <si>
    <t>半径 r0​ (fm)</t>
  </si>
  <si>
    <t>势参数类型</t>
  </si>
  <si>
    <t>Woods-Saxon 势阱深度</t>
  </si>
  <si>
    <t>V</t>
    <phoneticPr fontId="1" type="noConversion"/>
  </si>
  <si>
    <t>实部中心势</t>
  </si>
  <si>
    <t>说明</t>
  </si>
  <si>
    <t>单位</t>
  </si>
  <si>
    <t>推荐值</t>
  </si>
  <si>
    <t>符号</t>
  </si>
  <si>
    <t>X</t>
  </si>
  <si>
    <t>Y</t>
  </si>
  <si>
    <r>
      <rPr>
        <b/>
        <sz val="11"/>
        <color theme="1"/>
        <rFont val="微软雅黑"/>
        <family val="2"/>
        <charset val="134"/>
      </rPr>
      <t>实部中心势</t>
    </r>
    <r>
      <rPr>
        <sz val="11"/>
        <color theme="1"/>
        <rFont val="Arial"/>
        <family val="2"/>
      </rPr>
      <t xml:space="preserve"> (Real Central)</t>
    </r>
    <phoneticPr fontId="1" type="noConversion"/>
  </si>
  <si>
    <t>Vr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</si>
</sst>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等线"/>
      <family val="2"/>
      <scheme val="minor"/>
    </font>
    <font>
      <u/>
      <sz val="11"/>
      <color theme="10"/>
      <name val="等线"/>
      <family val="3"/>
      <charset val="134"/>
      <scheme val="minor"/>
    </font>
    <font>
      <sz val="11"/>
      <color theme="1"/>
      <name val="等线"/>
      <family val="2"/>
    </font>
    <font>
      <i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微软雅黑"/>
      <family val="2"/>
      <charset val="134"/>
    </font>
    <font>
      <b/>
      <sz val="11"/>
      <color theme="1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0" xfId="1" applyAlignment="1">
      <alignment horizontal="left" vertical="center" indent="1"/>
    </xf>
    <xf numFmtId="0" fontId="0" fillId="0" borderId="0" xfId="0" applyAlignment="1">
      <alignment horizontal="right" vertical="center"/>
    </xf>
    <xf numFmtId="0" fontId="2" fillId="0" borderId="2" xfId="0" applyFont="1" applyFill="1" applyBorder="1" applyAlignment="1">
      <alignment vertical="center" wrapText="1"/>
    </xf>
    <xf numFmtId="0" fontId="0" fillId="0" borderId="0" xfId="0" applyAlignment="1">
      <alignment horizontal="left" vertical="center" indent="1"/>
    </xf>
    <xf numFmtId="0" fontId="8" fillId="0" borderId="0" xfId="0" applyFont="1"/>
    <xf numFmtId="0" fontId="10" fillId="0" borderId="1" xfId="0" applyFont="1" applyBorder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11</xdr:row>
      <xdr:rowOff>26176</xdr:rowOff>
    </xdr:from>
    <xdr:to>
      <xdr:col>9</xdr:col>
      <xdr:colOff>633119</xdr:colOff>
      <xdr:row>25</xdr:row>
      <xdr:rowOff>105510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5E257D4-B932-427D-A3DE-D5B4C7EDE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0" y="1981976"/>
          <a:ext cx="4519319" cy="25685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582489</xdr:colOff>
      <xdr:row>65</xdr:row>
      <xdr:rowOff>160385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8986DCC-EF31-4A49-8133-0D40840D1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88489" cy="11717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doi.org/10.26565/2312-4334-2025-3-05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"/>
  <sheetViews>
    <sheetView topLeftCell="C7" zoomScale="85" zoomScaleNormal="85" workbookViewId="0">
      <selection activeCell="E44" sqref="E44"/>
    </sheetView>
  </sheetViews>
  <sheetFormatPr defaultRowHeight="14" x14ac:dyDescent="0.3"/>
  <sheetData>
    <row r="1" spans="1:11" x14ac:dyDescent="0.3">
      <c r="A1" t="s">
        <v>8</v>
      </c>
      <c r="B1" t="s">
        <v>2</v>
      </c>
      <c r="C1" t="s">
        <v>0</v>
      </c>
      <c r="D1" t="s">
        <v>3</v>
      </c>
      <c r="E1" t="s">
        <v>1</v>
      </c>
      <c r="F1" t="s">
        <v>4</v>
      </c>
      <c r="G1" t="s">
        <v>5</v>
      </c>
      <c r="I1" t="s">
        <v>12</v>
      </c>
    </row>
    <row r="2" spans="1:11" x14ac:dyDescent="0.3">
      <c r="A2">
        <v>24</v>
      </c>
      <c r="B2">
        <v>7.0000000000000007E-2</v>
      </c>
      <c r="C2">
        <v>0.87</v>
      </c>
      <c r="D2">
        <v>0.1</v>
      </c>
      <c r="E2">
        <v>1.8</v>
      </c>
      <c r="F2">
        <f>C2/E2</f>
        <v>0.48333333333333334</v>
      </c>
      <c r="G2">
        <f>SQRT(POWER(B2/C2,2)+POWER(D2/E2,2))</f>
        <v>9.7776246399807254E-2</v>
      </c>
      <c r="I2" t="s">
        <v>6</v>
      </c>
    </row>
    <row r="3" spans="1:11" x14ac:dyDescent="0.3">
      <c r="A3">
        <v>26</v>
      </c>
      <c r="B3">
        <v>0.05</v>
      </c>
      <c r="C3">
        <v>0.61</v>
      </c>
      <c r="D3">
        <v>0.1</v>
      </c>
      <c r="E3">
        <v>1.3</v>
      </c>
      <c r="F3">
        <f t="shared" ref="F3:F5" si="0">C3/E3</f>
        <v>0.46923076923076923</v>
      </c>
      <c r="G3">
        <f t="shared" ref="G3:G5" si="1">SQRT(POWER(B3/C3,2)+POWER(D3/E3,2))</f>
        <v>0.11240900226010872</v>
      </c>
      <c r="I3" t="s">
        <v>7</v>
      </c>
    </row>
    <row r="4" spans="1:11" x14ac:dyDescent="0.3">
      <c r="A4">
        <v>28</v>
      </c>
      <c r="B4">
        <v>0.05</v>
      </c>
      <c r="C4">
        <v>0.42</v>
      </c>
      <c r="D4">
        <v>0.1</v>
      </c>
      <c r="E4">
        <v>1</v>
      </c>
      <c r="F4">
        <f t="shared" si="0"/>
        <v>0.42</v>
      </c>
      <c r="G4">
        <f t="shared" si="1"/>
        <v>0.15547454968870961</v>
      </c>
      <c r="I4" t="s">
        <v>13</v>
      </c>
    </row>
    <row r="5" spans="1:11" x14ac:dyDescent="0.3">
      <c r="A5">
        <v>30</v>
      </c>
      <c r="B5">
        <v>0.03</v>
      </c>
      <c r="C5">
        <v>0.27</v>
      </c>
      <c r="D5">
        <v>0.01</v>
      </c>
      <c r="E5">
        <v>0.77</v>
      </c>
      <c r="F5">
        <f t="shared" si="0"/>
        <v>0.35064935064935066</v>
      </c>
      <c r="G5">
        <f t="shared" si="1"/>
        <v>0.11186751771032788</v>
      </c>
      <c r="I5" t="s">
        <v>14</v>
      </c>
    </row>
    <row r="6" spans="1:11" x14ac:dyDescent="0.3">
      <c r="I6" t="s">
        <v>15</v>
      </c>
    </row>
    <row r="7" spans="1:11" x14ac:dyDescent="0.3">
      <c r="I7" t="s">
        <v>16</v>
      </c>
    </row>
    <row r="8" spans="1:11" x14ac:dyDescent="0.3">
      <c r="I8" t="s">
        <v>17</v>
      </c>
    </row>
    <row r="9" spans="1:11" x14ac:dyDescent="0.3">
      <c r="I9" t="s">
        <v>18</v>
      </c>
    </row>
    <row r="10" spans="1:11" x14ac:dyDescent="0.3">
      <c r="I10" t="s">
        <v>19</v>
      </c>
    </row>
    <row r="12" spans="1:11" x14ac:dyDescent="0.3">
      <c r="A12" t="s">
        <v>9</v>
      </c>
      <c r="B12" t="s">
        <v>10</v>
      </c>
      <c r="C12" t="s">
        <v>11</v>
      </c>
      <c r="K12" t="s">
        <v>20</v>
      </c>
    </row>
    <row r="13" spans="1:11" x14ac:dyDescent="0.3">
      <c r="A13" s="1">
        <v>13.204780253986501</v>
      </c>
      <c r="B13" s="1">
        <v>0.93994902635453703</v>
      </c>
      <c r="C13">
        <f>0.2*B13</f>
        <v>0.18798980527090742</v>
      </c>
      <c r="K13" t="s">
        <v>19</v>
      </c>
    </row>
    <row r="14" spans="1:11" x14ac:dyDescent="0.3">
      <c r="A14" s="1">
        <v>19.795451678663401</v>
      </c>
      <c r="B14" s="1">
        <v>0.342024126205905</v>
      </c>
      <c r="C14">
        <f t="shared" ref="C14:C28" si="2">0.2*B14</f>
        <v>6.8404825241181008E-2</v>
      </c>
      <c r="K14" t="s">
        <v>21</v>
      </c>
    </row>
    <row r="15" spans="1:11" x14ac:dyDescent="0.3">
      <c r="A15" s="1">
        <v>26.118790206745501</v>
      </c>
      <c r="B15" s="1">
        <v>0.26405788652517398</v>
      </c>
      <c r="C15">
        <f t="shared" si="2"/>
        <v>5.2811577305034801E-2</v>
      </c>
      <c r="K15" t="s">
        <v>6</v>
      </c>
    </row>
    <row r="16" spans="1:11" x14ac:dyDescent="0.3">
      <c r="A16" s="1">
        <v>32.859973714299599</v>
      </c>
      <c r="B16" s="1">
        <v>0.16396112061708901</v>
      </c>
      <c r="C16">
        <f t="shared" si="2"/>
        <v>3.2792224123417806E-2</v>
      </c>
      <c r="K16" t="s">
        <v>22</v>
      </c>
    </row>
    <row r="17" spans="1:11" x14ac:dyDescent="0.3">
      <c r="A17" s="1">
        <v>35.246194473492501</v>
      </c>
      <c r="B17" s="1">
        <v>0.12922774572913501</v>
      </c>
      <c r="C17">
        <f t="shared" si="2"/>
        <v>2.5845549145827002E-2</v>
      </c>
      <c r="K17" t="s">
        <v>23</v>
      </c>
    </row>
    <row r="18" spans="1:11" x14ac:dyDescent="0.3">
      <c r="A18" s="1">
        <v>39.464194888529903</v>
      </c>
      <c r="B18" s="1">
        <v>0.124096638546941</v>
      </c>
      <c r="C18">
        <f t="shared" si="2"/>
        <v>2.4819327709388203E-2</v>
      </c>
      <c r="K18" t="s">
        <v>24</v>
      </c>
    </row>
    <row r="19" spans="1:11" x14ac:dyDescent="0.3">
      <c r="A19" s="1">
        <v>41.714551942741103</v>
      </c>
      <c r="B19" s="1">
        <v>0.126514850061519</v>
      </c>
      <c r="C19">
        <f t="shared" si="2"/>
        <v>2.5302970012303801E-2</v>
      </c>
      <c r="K19" t="s">
        <v>25</v>
      </c>
    </row>
    <row r="20" spans="1:11" x14ac:dyDescent="0.3">
      <c r="A20" s="1">
        <v>45.786068578822501</v>
      </c>
      <c r="B20" s="1">
        <v>8.8514990981525002E-2</v>
      </c>
      <c r="C20">
        <f t="shared" si="2"/>
        <v>1.7702998196305001E-2</v>
      </c>
      <c r="K20" t="s">
        <v>6</v>
      </c>
    </row>
    <row r="21" spans="1:11" x14ac:dyDescent="0.3">
      <c r="A21" s="1">
        <v>47.7507822640695</v>
      </c>
      <c r="B21" s="1">
        <v>7.1165321049681304E-2</v>
      </c>
      <c r="C21">
        <f t="shared" si="2"/>
        <v>1.4233064209936261E-2</v>
      </c>
      <c r="K21" t="s">
        <v>26</v>
      </c>
    </row>
    <row r="22" spans="1:11" x14ac:dyDescent="0.3">
      <c r="A22" s="1">
        <v>52.1075760596677</v>
      </c>
      <c r="B22" s="1">
        <v>6.1898089387922302E-2</v>
      </c>
      <c r="C22">
        <f t="shared" si="2"/>
        <v>1.2379617877584461E-2</v>
      </c>
      <c r="K22" t="s">
        <v>27</v>
      </c>
    </row>
    <row r="23" spans="1:11" x14ac:dyDescent="0.3">
      <c r="A23" s="1">
        <v>53.935327411590897</v>
      </c>
      <c r="B23" s="1">
        <v>6.0660534431220797E-2</v>
      </c>
      <c r="C23">
        <f t="shared" si="2"/>
        <v>1.213210688624416E-2</v>
      </c>
      <c r="K23" t="s">
        <v>19</v>
      </c>
    </row>
    <row r="24" spans="1:11" x14ac:dyDescent="0.3">
      <c r="A24" s="1">
        <v>58.153694036075699</v>
      </c>
      <c r="B24" s="1">
        <v>5.9416474443735101E-2</v>
      </c>
      <c r="C24">
        <f t="shared" si="2"/>
        <v>1.1883294888747021E-2</v>
      </c>
      <c r="K24" t="s">
        <v>28</v>
      </c>
    </row>
    <row r="25" spans="1:11" x14ac:dyDescent="0.3">
      <c r="A25" s="1">
        <v>59.697999275719098</v>
      </c>
      <c r="B25" s="1">
        <v>5.1711167976857701E-2</v>
      </c>
      <c r="C25">
        <f t="shared" si="2"/>
        <v>1.0342233595371541E-2</v>
      </c>
      <c r="K25" t="s">
        <v>19</v>
      </c>
    </row>
    <row r="26" spans="1:11" x14ac:dyDescent="0.3">
      <c r="A26" s="1">
        <v>65.737159272626599</v>
      </c>
      <c r="B26" s="1">
        <v>3.4078654012375198E-2</v>
      </c>
      <c r="C26">
        <f t="shared" si="2"/>
        <v>6.8157308024750403E-3</v>
      </c>
      <c r="K26" t="s">
        <v>29</v>
      </c>
    </row>
    <row r="27" spans="1:11" x14ac:dyDescent="0.3">
      <c r="A27" s="1">
        <v>71.203933903263703</v>
      </c>
      <c r="B27" s="1">
        <v>1.31622919597416E-2</v>
      </c>
      <c r="C27">
        <f t="shared" si="2"/>
        <v>2.63245839194832E-3</v>
      </c>
      <c r="K27" t="s">
        <v>6</v>
      </c>
    </row>
    <row r="28" spans="1:11" x14ac:dyDescent="0.3">
      <c r="A28" s="1">
        <v>77.106497776294802</v>
      </c>
      <c r="B28" s="1">
        <v>1.0784584268890601E-2</v>
      </c>
      <c r="C28">
        <f t="shared" si="2"/>
        <v>2.1569168537781203E-3</v>
      </c>
      <c r="K28" t="s">
        <v>22</v>
      </c>
    </row>
    <row r="29" spans="1:11" x14ac:dyDescent="0.3">
      <c r="K29" t="s">
        <v>30</v>
      </c>
    </row>
    <row r="30" spans="1:11" x14ac:dyDescent="0.3">
      <c r="K30" t="s">
        <v>31</v>
      </c>
    </row>
    <row r="31" spans="1:11" x14ac:dyDescent="0.3">
      <c r="K31" t="s">
        <v>32</v>
      </c>
    </row>
    <row r="32" spans="1:11" x14ac:dyDescent="0.3">
      <c r="K32" t="s">
        <v>6</v>
      </c>
    </row>
    <row r="33" spans="11:11" x14ac:dyDescent="0.3">
      <c r="K33" t="s">
        <v>26</v>
      </c>
    </row>
    <row r="34" spans="11:11" x14ac:dyDescent="0.3">
      <c r="K34" t="s">
        <v>27</v>
      </c>
    </row>
    <row r="35" spans="11:11" x14ac:dyDescent="0.3">
      <c r="K35" t="s">
        <v>19</v>
      </c>
    </row>
    <row r="39" spans="11:11" x14ac:dyDescent="0.3">
      <c r="K39" t="s">
        <v>39</v>
      </c>
    </row>
    <row r="40" spans="11:11" x14ac:dyDescent="0.3">
      <c r="K40" t="s">
        <v>19</v>
      </c>
    </row>
    <row r="41" spans="11:11" x14ac:dyDescent="0.3">
      <c r="K41" t="s">
        <v>33</v>
      </c>
    </row>
    <row r="42" spans="11:11" x14ac:dyDescent="0.3">
      <c r="K42" t="s">
        <v>34</v>
      </c>
    </row>
    <row r="43" spans="11:11" x14ac:dyDescent="0.3">
      <c r="K43" t="s">
        <v>6</v>
      </c>
    </row>
    <row r="44" spans="11:11" x14ac:dyDescent="0.3">
      <c r="K44" t="s">
        <v>35</v>
      </c>
    </row>
    <row r="45" spans="11:11" x14ac:dyDescent="0.3">
      <c r="K45" t="s">
        <v>36</v>
      </c>
    </row>
    <row r="46" spans="11:11" x14ac:dyDescent="0.3">
      <c r="K46" t="s">
        <v>37</v>
      </c>
    </row>
    <row r="47" spans="11:11" x14ac:dyDescent="0.3">
      <c r="K47" t="s">
        <v>38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2CA34-FAF1-48B7-A32A-F23E3CAD7CFB}">
  <dimension ref="A1:U14"/>
  <sheetViews>
    <sheetView topLeftCell="C1" workbookViewId="0">
      <selection activeCell="N7" sqref="N7"/>
    </sheetView>
  </sheetViews>
  <sheetFormatPr defaultRowHeight="14" x14ac:dyDescent="0.3"/>
  <cols>
    <col min="14" max="14" width="41.4140625" customWidth="1"/>
  </cols>
  <sheetData>
    <row r="1" spans="1:21" ht="14.5" thickBot="1" x14ac:dyDescent="0.35">
      <c r="A1" s="2" t="s">
        <v>40</v>
      </c>
      <c r="B1" s="2" t="s">
        <v>102</v>
      </c>
      <c r="C1" s="2" t="s">
        <v>101</v>
      </c>
      <c r="D1" s="2" t="s">
        <v>100</v>
      </c>
      <c r="E1" s="2" t="s">
        <v>99</v>
      </c>
    </row>
    <row r="2" spans="1:21" ht="42.5" thickBot="1" x14ac:dyDescent="0.35">
      <c r="A2" s="2" t="s">
        <v>98</v>
      </c>
      <c r="B2" s="3" t="s">
        <v>97</v>
      </c>
      <c r="C2" s="2">
        <v>65.753</v>
      </c>
      <c r="D2" s="3" t="s">
        <v>65</v>
      </c>
      <c r="E2" s="3" t="s">
        <v>96</v>
      </c>
      <c r="G2" s="2" t="s">
        <v>95</v>
      </c>
      <c r="H2" s="2" t="s">
        <v>41</v>
      </c>
      <c r="I2" s="2" t="s">
        <v>94</v>
      </c>
      <c r="J2" s="2" t="s">
        <v>43</v>
      </c>
      <c r="M2" s="2" t="s">
        <v>95</v>
      </c>
      <c r="N2" s="2" t="s">
        <v>41</v>
      </c>
      <c r="O2" s="2" t="s">
        <v>94</v>
      </c>
      <c r="P2" s="2" t="s">
        <v>43</v>
      </c>
      <c r="R2" s="2" t="s">
        <v>40</v>
      </c>
      <c r="S2" s="2" t="s">
        <v>41</v>
      </c>
      <c r="T2" s="2" t="s">
        <v>42</v>
      </c>
      <c r="U2" s="2" t="s">
        <v>43</v>
      </c>
    </row>
    <row r="3" spans="1:21" ht="47.5" thickBot="1" x14ac:dyDescent="0.35">
      <c r="A3" s="3" t="s">
        <v>93</v>
      </c>
      <c r="B3" s="3" t="s">
        <v>92</v>
      </c>
      <c r="C3" s="2">
        <v>1.0281</v>
      </c>
      <c r="D3" s="3" t="s">
        <v>57</v>
      </c>
      <c r="E3" s="3" t="s">
        <v>91</v>
      </c>
      <c r="G3" s="2" t="s">
        <v>44</v>
      </c>
      <c r="H3" s="2" t="s">
        <v>90</v>
      </c>
      <c r="I3" s="2" t="s">
        <v>89</v>
      </c>
      <c r="J3" s="2" t="s">
        <v>88</v>
      </c>
      <c r="M3" s="9" t="s">
        <v>105</v>
      </c>
      <c r="N3" t="s">
        <v>87</v>
      </c>
      <c r="O3" s="2">
        <v>1.1499999999999999</v>
      </c>
      <c r="P3" s="2">
        <v>0.76</v>
      </c>
      <c r="Q3" s="5">
        <f>91.85-0.249*10.5+0.000116*POWER(10.5,2)+0.642*POWER(11/23,0.333)</f>
        <v>89.75047363738652</v>
      </c>
      <c r="R3" s="2" t="s">
        <v>44</v>
      </c>
      <c r="S3" s="2">
        <v>82.85</v>
      </c>
      <c r="T3" s="2">
        <v>1.1739999999999999</v>
      </c>
      <c r="U3" s="2">
        <v>0.80900000000000005</v>
      </c>
    </row>
    <row r="4" spans="1:21" ht="70.5" thickBot="1" x14ac:dyDescent="0.35">
      <c r="A4" s="3"/>
      <c r="B4" s="3" t="s">
        <v>86</v>
      </c>
      <c r="C4" s="2">
        <v>0.59589999999999999</v>
      </c>
      <c r="D4" s="3" t="s">
        <v>57</v>
      </c>
      <c r="E4" s="3" t="s">
        <v>56</v>
      </c>
      <c r="G4" s="2" t="s">
        <v>84</v>
      </c>
      <c r="H4" s="2" t="s">
        <v>85</v>
      </c>
      <c r="I4" s="2" t="s">
        <v>78</v>
      </c>
      <c r="J4" s="2" t="s">
        <v>77</v>
      </c>
      <c r="M4" s="2" t="s">
        <v>84</v>
      </c>
      <c r="N4" s="2" t="s">
        <v>83</v>
      </c>
      <c r="O4" s="2">
        <v>1.39</v>
      </c>
      <c r="P4" s="2">
        <v>0.71</v>
      </c>
      <c r="Q4">
        <f>10.83-0.0306*10.5</f>
        <v>10.508699999999999</v>
      </c>
      <c r="R4" s="2" t="s">
        <v>45</v>
      </c>
      <c r="S4" s="2">
        <v>18.13</v>
      </c>
      <c r="T4" s="2">
        <v>1.3280000000000001</v>
      </c>
      <c r="U4" s="2">
        <v>0.59299999999999997</v>
      </c>
    </row>
    <row r="5" spans="1:21" ht="70.5" thickBot="1" x14ac:dyDescent="0.35">
      <c r="A5" s="2" t="s">
        <v>82</v>
      </c>
      <c r="B5" s="3" t="s">
        <v>81</v>
      </c>
      <c r="C5" s="2">
        <v>16</v>
      </c>
      <c r="D5" s="3" t="s">
        <v>65</v>
      </c>
      <c r="E5" s="3" t="s">
        <v>80</v>
      </c>
      <c r="G5" s="2" t="s">
        <v>76</v>
      </c>
      <c r="H5" s="2" t="s">
        <v>79</v>
      </c>
      <c r="I5" s="2" t="s">
        <v>78</v>
      </c>
      <c r="J5" s="2" t="s">
        <v>77</v>
      </c>
      <c r="M5" s="2" t="s">
        <v>76</v>
      </c>
      <c r="N5" s="2" t="s">
        <v>75</v>
      </c>
      <c r="O5" s="2">
        <v>1.34</v>
      </c>
      <c r="P5" s="2">
        <v>0.56999999999999995</v>
      </c>
      <c r="Q5">
        <f>1.104+0.0622*10.5</f>
        <v>1.7571000000000001</v>
      </c>
      <c r="R5" s="2" t="s">
        <v>46</v>
      </c>
      <c r="S5" s="2">
        <v>0</v>
      </c>
      <c r="T5" s="3">
        <v>1.5629999999999999</v>
      </c>
      <c r="U5" s="3">
        <v>0.82799999999999996</v>
      </c>
    </row>
    <row r="6" spans="1:21" ht="70.5" thickBot="1" x14ac:dyDescent="0.35">
      <c r="A6" s="3" t="s">
        <v>74</v>
      </c>
      <c r="B6" s="3" t="s">
        <v>73</v>
      </c>
      <c r="C6" s="2">
        <v>1.0765</v>
      </c>
      <c r="D6" s="3" t="s">
        <v>57</v>
      </c>
      <c r="E6" s="3" t="s">
        <v>61</v>
      </c>
      <c r="G6" s="2" t="s">
        <v>70</v>
      </c>
      <c r="H6" s="2" t="s">
        <v>72</v>
      </c>
      <c r="I6" s="2" t="s">
        <v>71</v>
      </c>
      <c r="J6" s="2" t="s">
        <v>71</v>
      </c>
      <c r="M6" s="2" t="s">
        <v>70</v>
      </c>
      <c r="N6" s="2">
        <v>3.56</v>
      </c>
      <c r="O6" s="2">
        <v>0.97</v>
      </c>
      <c r="P6" s="2">
        <v>1.01</v>
      </c>
      <c r="R6" s="2" t="s">
        <v>47</v>
      </c>
      <c r="S6" s="2">
        <v>3.7029999999999998</v>
      </c>
      <c r="T6" s="2">
        <v>1.234</v>
      </c>
      <c r="U6" s="2">
        <v>0.81299999999999994</v>
      </c>
    </row>
    <row r="7" spans="1:21" ht="70.5" thickBot="1" x14ac:dyDescent="0.35">
      <c r="A7" s="3"/>
      <c r="B7" s="3" t="s">
        <v>69</v>
      </c>
      <c r="C7" s="2">
        <v>0.47210000000000002</v>
      </c>
      <c r="D7" s="3" t="s">
        <v>57</v>
      </c>
      <c r="E7" s="3" t="s">
        <v>56</v>
      </c>
      <c r="M7" s="8" t="s">
        <v>68</v>
      </c>
      <c r="R7" s="2" t="s">
        <v>48</v>
      </c>
      <c r="S7" s="2">
        <v>-0.20599999999999999</v>
      </c>
      <c r="T7" s="2">
        <v>1.234</v>
      </c>
      <c r="U7" s="2">
        <v>0.81299999999999994</v>
      </c>
    </row>
    <row r="8" spans="1:21" ht="42.5" thickBot="1" x14ac:dyDescent="0.35">
      <c r="A8" s="2" t="s">
        <v>67</v>
      </c>
      <c r="B8" s="3" t="s">
        <v>66</v>
      </c>
      <c r="C8" s="2">
        <v>5</v>
      </c>
      <c r="D8" s="3" t="s">
        <v>65</v>
      </c>
      <c r="E8" s="3" t="s">
        <v>64</v>
      </c>
      <c r="G8" s="5"/>
      <c r="L8" t="s">
        <v>106</v>
      </c>
      <c r="R8" s="2" t="s">
        <v>49</v>
      </c>
      <c r="S8" s="3" t="s">
        <v>50</v>
      </c>
      <c r="T8" s="2">
        <v>1.698</v>
      </c>
      <c r="U8" s="3" t="s">
        <v>50</v>
      </c>
    </row>
    <row r="9" spans="1:21" ht="28.5" thickBot="1" x14ac:dyDescent="0.35">
      <c r="A9" s="3" t="s">
        <v>63</v>
      </c>
      <c r="B9" s="3" t="s">
        <v>62</v>
      </c>
      <c r="C9" s="2">
        <v>0.9</v>
      </c>
      <c r="D9" s="3" t="s">
        <v>57</v>
      </c>
      <c r="E9" s="3" t="s">
        <v>61</v>
      </c>
      <c r="G9" s="7" t="s">
        <v>60</v>
      </c>
      <c r="M9" s="7" t="s">
        <v>59</v>
      </c>
    </row>
    <row r="10" spans="1:21" ht="14.5" thickBot="1" x14ac:dyDescent="0.35">
      <c r="A10" s="3"/>
      <c r="B10" s="3" t="s">
        <v>58</v>
      </c>
      <c r="C10" s="2">
        <v>0.30409999999999998</v>
      </c>
      <c r="D10" s="3" t="s">
        <v>57</v>
      </c>
      <c r="E10" s="3" t="s">
        <v>56</v>
      </c>
    </row>
    <row r="11" spans="1:21" ht="56.5" thickBot="1" x14ac:dyDescent="0.35">
      <c r="A11" s="2" t="s">
        <v>55</v>
      </c>
      <c r="B11" s="3" t="s">
        <v>54</v>
      </c>
      <c r="C11" s="2">
        <v>0.50600000000000001</v>
      </c>
      <c r="D11" s="3" t="s">
        <v>50</v>
      </c>
      <c r="E11" s="3" t="s">
        <v>53</v>
      </c>
    </row>
    <row r="12" spans="1:21" ht="126" x14ac:dyDescent="0.3">
      <c r="A12" s="6" t="s">
        <v>52</v>
      </c>
    </row>
    <row r="13" spans="1:21" x14ac:dyDescent="0.3">
      <c r="A13" s="5">
        <v>1</v>
      </c>
    </row>
    <row r="14" spans="1:21" x14ac:dyDescent="0.3">
      <c r="A14" s="4" t="s">
        <v>51</v>
      </c>
    </row>
  </sheetData>
  <phoneticPr fontId="1" type="noConversion"/>
  <hyperlinks>
    <hyperlink ref="A14" r:id="rId1" display="https://doi.org/10.26565/2312-4334-2025-3-05" xr:uid="{AA416035-DC24-4444-9F4C-2C1F4BCE495D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4FB25-0E6A-4E71-918A-25481E28D223}">
  <dimension ref="A1:Y9"/>
  <sheetViews>
    <sheetView workbookViewId="0">
      <selection activeCell="C11" sqref="C11"/>
    </sheetView>
  </sheetViews>
  <sheetFormatPr defaultRowHeight="14" x14ac:dyDescent="0.3"/>
  <sheetData>
    <row r="1" spans="1:25" x14ac:dyDescent="0.3">
      <c r="A1" t="s">
        <v>8</v>
      </c>
      <c r="C1">
        <f>SQRT((6*2*16)/((23/25)*((16*19/25)+8.99-D1)))/25</f>
        <v>0.16879239916808003</v>
      </c>
      <c r="D1">
        <v>9.43</v>
      </c>
      <c r="F1">
        <f>SQRT((6*2*16)/((23/25)*((16*19/25)+8.99-G1)))/25</f>
        <v>0.17077093201364454</v>
      </c>
      <c r="G1">
        <v>9.6999999999999993</v>
      </c>
      <c r="I1">
        <f>SQRT((6*2*16)/((23/25)*((16*19/25)+8.99-J1)))/25</f>
        <v>0.1732863277697636</v>
      </c>
      <c r="J1">
        <v>10.029999999999999</v>
      </c>
      <c r="L1">
        <f>SQRT((6*2*16)/((23/25)*((16*19/25)+8.99-M1)))/25</f>
        <v>0.1751066953974825</v>
      </c>
      <c r="M1">
        <v>10.26</v>
      </c>
      <c r="O1">
        <f>SQRT((6*2*16)/((23/25)*((16*19/25)+8.99-P1)))/25</f>
        <v>0.17681986948101411</v>
      </c>
      <c r="P1">
        <v>10.47</v>
      </c>
      <c r="R1">
        <f>SQRT((6*2*16)/((23/25)*((16*19/25)+8.99-S1)))/25</f>
        <v>0.18128832570042092</v>
      </c>
      <c r="S1">
        <v>10.99</v>
      </c>
      <c r="U1">
        <f>SQRT((6*2*16)/((23/25)*((16*19/25)+8.99-V1)))/25</f>
        <v>0.18402559667356319</v>
      </c>
      <c r="V1">
        <v>11.29</v>
      </c>
      <c r="X1">
        <f>SQRT((6*2*16)/((23/25)*((16*19/25)+8.99-Y1)))/25</f>
        <v>0.18621023510864576</v>
      </c>
      <c r="Y1">
        <v>11.52</v>
      </c>
    </row>
    <row r="2" spans="1:25" x14ac:dyDescent="0.3">
      <c r="C2" s="1" t="s">
        <v>103</v>
      </c>
      <c r="D2" s="1" t="s">
        <v>104</v>
      </c>
    </row>
    <row r="3" spans="1:25" x14ac:dyDescent="0.3">
      <c r="A3">
        <v>7.5</v>
      </c>
      <c r="C3" s="1">
        <f>DEGREES(RADIANS(A3) + ASIN($C$1 * SIN(RADIANS(A3))))</f>
        <v>8.7624329698150785</v>
      </c>
      <c r="D3" s="1">
        <v>62.208654254485303</v>
      </c>
      <c r="F3" s="1">
        <f>DEGREES(RADIANS(A3) + ASIN($F$1 * SIN(RADIANS(A3))))</f>
        <v>8.7772332601729062</v>
      </c>
      <c r="G3" s="1">
        <v>28.635492745169099</v>
      </c>
      <c r="I3">
        <f>DEGREES(RADIANS(A3) + ASIN($I$1 * SIN(RADIANS(A3))))</f>
        <v>8.7960496429256665</v>
      </c>
      <c r="J3" s="1">
        <v>40.397157397938301</v>
      </c>
      <c r="L3">
        <f>DEGREES(RADIANS(A3) + ASIN($L$1 * SIN(RADIANS(A3))))</f>
        <v>8.8096669645718109</v>
      </c>
      <c r="M3" s="1">
        <v>40.397157397938301</v>
      </c>
      <c r="O3">
        <f>DEGREES(RADIANS(A3) + ASIN($O$1 * SIN(RADIANS(A3))))</f>
        <v>8.822482488852561</v>
      </c>
      <c r="P3" s="1">
        <v>150.58363542798401</v>
      </c>
      <c r="R3">
        <f>DEGREES(RADIANS(A3) + ASIN($R$1 * SIN(RADIANS(A3))))</f>
        <v>8.8559094160940841</v>
      </c>
      <c r="S3" s="1">
        <v>29.382253839710099</v>
      </c>
      <c r="U3">
        <f>DEGREES(RADIANS(A3) + ASIN($U$1 * SIN(RADIANS(A3))))</f>
        <v>8.8763861912223216</v>
      </c>
      <c r="V3" s="1">
        <v>74.989420933245498</v>
      </c>
      <c r="X3">
        <f>DEGREES(RADIANS(A3) + ASIN($X$1 * SIN(RADIANS(A3))))</f>
        <v>8.8927289995972973</v>
      </c>
      <c r="Y3" s="1">
        <v>82.151466162698</v>
      </c>
    </row>
    <row r="4" spans="1:25" x14ac:dyDescent="0.3">
      <c r="A4">
        <v>15</v>
      </c>
      <c r="C4" s="1">
        <f t="shared" ref="C4:C9" si="0">DEGREES(RADIANS(A4) + ASIN($C$1 * SIN(RADIANS(A4))))</f>
        <v>17.503859697123591</v>
      </c>
      <c r="D4" s="1">
        <v>56.7806381006218</v>
      </c>
      <c r="F4" s="1">
        <f t="shared" ref="F4:F9" si="1">DEGREES(RADIANS(A4) + ASIN($F$1 * SIN(RADIANS(A4))))</f>
        <v>17.533228202223448</v>
      </c>
      <c r="G4" s="1">
        <v>33.254685274490797</v>
      </c>
      <c r="I4">
        <f t="shared" ref="I4:I9" si="2">DEGREES(RADIANS(A4) + ASIN($I$1 * SIN(RADIANS(A4))))</f>
        <v>17.570566636029053</v>
      </c>
      <c r="J4" s="1">
        <v>35.1316805211654</v>
      </c>
      <c r="L4">
        <f t="shared" ref="L4:L9" si="3">DEGREES(RADIANS(A4) + ASIN($L$1 * SIN(RADIANS(A4))))</f>
        <v>17.597588780600333</v>
      </c>
      <c r="M4" s="1">
        <v>35.1316805211654</v>
      </c>
      <c r="O4">
        <f t="shared" ref="O4:O9" si="4">DEGREES(RADIANS(A4) + ASIN($O$1 * SIN(RADIANS(A4))))</f>
        <v>17.623020236443175</v>
      </c>
      <c r="P4" s="1">
        <v>90.272517794845697</v>
      </c>
      <c r="R4">
        <f t="shared" ref="R4:R9" si="5">DEGREES(RADIANS(A4) + ASIN($R$1 * SIN(RADIANS(A4))))</f>
        <v>17.689355315286718</v>
      </c>
      <c r="S4" s="1">
        <v>30.857568527160499</v>
      </c>
      <c r="U4">
        <f t="shared" ref="U4:U9" si="6">DEGREES(RADIANS(A4) + ASIN($U$1 * SIN(RADIANS(A4))))</f>
        <v>17.729992397474543</v>
      </c>
      <c r="V4" s="1">
        <v>61.896581889126097</v>
      </c>
      <c r="X4">
        <f t="shared" ref="X4:X9" si="7">DEGREES(RADIANS(A4) + ASIN($X$1 * SIN(RADIANS(A4))))</f>
        <v>17.762426171553162</v>
      </c>
      <c r="Y4" s="1">
        <v>45.246375915446997</v>
      </c>
    </row>
    <row r="5" spans="1:25" x14ac:dyDescent="0.3">
      <c r="A5">
        <v>22.5</v>
      </c>
      <c r="C5" s="1">
        <f t="shared" si="0"/>
        <v>26.203545205783573</v>
      </c>
      <c r="D5" s="1">
        <v>35.281500165893704</v>
      </c>
      <c r="F5" s="1">
        <f t="shared" si="1"/>
        <v>26.247018663413453</v>
      </c>
      <c r="G5" s="1">
        <v>33.384448088468197</v>
      </c>
      <c r="I5">
        <f t="shared" si="2"/>
        <v>26.302291503137567</v>
      </c>
      <c r="J5" s="1">
        <v>26.467629932942899</v>
      </c>
      <c r="L5">
        <f t="shared" si="3"/>
        <v>26.34229413111084</v>
      </c>
      <c r="M5" s="1">
        <v>26.467629932942899</v>
      </c>
      <c r="O5">
        <f t="shared" si="4"/>
        <v>26.379942891087222</v>
      </c>
      <c r="P5" s="1">
        <v>35.938136638046302</v>
      </c>
      <c r="R5">
        <f t="shared" si="5"/>
        <v>26.478149743102914</v>
      </c>
      <c r="S5" s="1">
        <v>35.7430401822105</v>
      </c>
      <c r="U5">
        <f t="shared" si="6"/>
        <v>26.538314710128926</v>
      </c>
      <c r="V5" s="1">
        <v>61.896581889126097</v>
      </c>
      <c r="X5">
        <f t="shared" si="7"/>
        <v>26.586336061659811</v>
      </c>
      <c r="Y5" s="1">
        <v>55.397939573608497</v>
      </c>
    </row>
    <row r="6" spans="1:25" x14ac:dyDescent="0.3">
      <c r="A6">
        <v>30</v>
      </c>
      <c r="C6" s="1">
        <f t="shared" si="0"/>
        <v>34.841304892884743</v>
      </c>
      <c r="D6" s="1">
        <v>39.0299369276607</v>
      </c>
      <c r="F6" s="1">
        <f t="shared" si="1"/>
        <v>34.898191030374925</v>
      </c>
      <c r="G6" s="1">
        <v>14.769767179605299</v>
      </c>
      <c r="I6">
        <f t="shared" si="2"/>
        <v>34.970519873418482</v>
      </c>
      <c r="J6" s="1">
        <v>21.9396572569764</v>
      </c>
      <c r="L6">
        <f t="shared" si="3"/>
        <v>35.022868505541226</v>
      </c>
      <c r="M6" s="1">
        <v>21.9396572569764</v>
      </c>
      <c r="O6">
        <f t="shared" si="4"/>
        <v>35.072138393245623</v>
      </c>
      <c r="P6" s="1">
        <v>32.442260791716301</v>
      </c>
      <c r="R6">
        <f t="shared" si="5"/>
        <v>35.200666380005529</v>
      </c>
      <c r="S6" s="1">
        <v>17.1412525329131</v>
      </c>
      <c r="U6">
        <f t="shared" si="6"/>
        <v>35.279412517566549</v>
      </c>
      <c r="V6" s="1">
        <v>51.089697745069302</v>
      </c>
      <c r="X6">
        <f t="shared" si="7"/>
        <v>35.342267625888745</v>
      </c>
      <c r="Y6" s="1">
        <v>24.9843488876148</v>
      </c>
    </row>
    <row r="7" spans="1:25" x14ac:dyDescent="0.3">
      <c r="A7">
        <v>37.5</v>
      </c>
      <c r="C7" s="1">
        <f t="shared" si="0"/>
        <v>43.397797653245647</v>
      </c>
      <c r="D7" s="1">
        <v>33.942667336632901</v>
      </c>
      <c r="F7" s="1">
        <f t="shared" si="1"/>
        <v>43.467179398837686</v>
      </c>
      <c r="G7" s="1">
        <v>15.5731379377814</v>
      </c>
      <c r="I7">
        <f t="shared" si="2"/>
        <v>43.555400156001838</v>
      </c>
      <c r="J7" s="1">
        <v>19.094750078865498</v>
      </c>
      <c r="L7">
        <f t="shared" si="3"/>
        <v>43.619253642993456</v>
      </c>
      <c r="M7" s="1">
        <v>19.094750078865498</v>
      </c>
      <c r="O7">
        <f t="shared" si="4"/>
        <v>43.679354043337931</v>
      </c>
      <c r="P7" s="1">
        <v>6.3095734448019396</v>
      </c>
      <c r="R7">
        <f t="shared" si="5"/>
        <v>43.836145661261646</v>
      </c>
      <c r="S7" s="1">
        <v>11.029433117916099</v>
      </c>
      <c r="U7">
        <f t="shared" si="6"/>
        <v>43.932215972443089</v>
      </c>
      <c r="V7" s="1">
        <v>36.517412725483702</v>
      </c>
      <c r="X7">
        <f t="shared" si="7"/>
        <v>44.008903496213918</v>
      </c>
      <c r="Y7" s="1">
        <v>7.5594333339917297</v>
      </c>
    </row>
    <row r="8" spans="1:25" x14ac:dyDescent="0.3">
      <c r="A8">
        <v>45</v>
      </c>
      <c r="C8" s="1">
        <f t="shared" si="0"/>
        <v>51.85483599276747</v>
      </c>
      <c r="D8" s="1">
        <v>20.118492252212199</v>
      </c>
      <c r="F8" s="1">
        <f t="shared" si="1"/>
        <v>51.935578723407268</v>
      </c>
      <c r="G8" s="1">
        <v>15.639995548772101</v>
      </c>
      <c r="I8">
        <f t="shared" si="2"/>
        <v>52.038250514849366</v>
      </c>
      <c r="J8" s="1">
        <v>16.605887706258201</v>
      </c>
      <c r="L8">
        <f t="shared" si="3"/>
        <v>52.112567250155614</v>
      </c>
      <c r="M8" s="1">
        <v>16.605887706258201</v>
      </c>
      <c r="O8">
        <f t="shared" si="4"/>
        <v>52.182518781532515</v>
      </c>
      <c r="P8" s="1">
        <v>2.7825594022071201</v>
      </c>
      <c r="R8">
        <f t="shared" si="5"/>
        <v>52.365023646758715</v>
      </c>
      <c r="S8" s="1">
        <v>5.5549589131838202</v>
      </c>
      <c r="U8">
        <f t="shared" si="6"/>
        <v>52.476858830731949</v>
      </c>
      <c r="V8" s="1">
        <v>38.311868495572902</v>
      </c>
      <c r="X8">
        <f t="shared" si="7"/>
        <v>52.566135949512947</v>
      </c>
      <c r="Y8" s="1">
        <v>9.2554822916596606</v>
      </c>
    </row>
    <row r="9" spans="1:25" x14ac:dyDescent="0.3">
      <c r="A9">
        <v>52.5</v>
      </c>
      <c r="C9" s="1">
        <f t="shared" si="0"/>
        <v>60.195711627439927</v>
      </c>
      <c r="D9" s="1">
        <v>16.676703794746999</v>
      </c>
      <c r="F9" s="1">
        <f t="shared" si="1"/>
        <v>60.286474562695915</v>
      </c>
      <c r="G9" s="1">
        <v>5.6972760800257802</v>
      </c>
      <c r="I9">
        <f t="shared" si="2"/>
        <v>60.401893895250538</v>
      </c>
      <c r="J9" s="1">
        <v>20.204287902092499</v>
      </c>
      <c r="L9">
        <f t="shared" si="3"/>
        <v>60.485441856808329</v>
      </c>
      <c r="M9" s="1">
        <v>20.204287902092499</v>
      </c>
      <c r="O9">
        <f t="shared" si="4"/>
        <v>60.564085651960141</v>
      </c>
      <c r="P9" s="1">
        <v>0.66408278506348495</v>
      </c>
      <c r="R9">
        <f t="shared" si="5"/>
        <v>60.769283920399445</v>
      </c>
      <c r="S9" s="1">
        <v>10.502110796366599</v>
      </c>
      <c r="U9">
        <f t="shared" si="6"/>
        <v>60.895036146221926</v>
      </c>
      <c r="V9" s="1">
        <v>33.176711278428598</v>
      </c>
      <c r="X9">
        <f t="shared" si="7"/>
        <v>60.995429235040362</v>
      </c>
      <c r="Y9" s="1">
        <v>14.6495985555259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674DA-F128-40FA-92CA-EEFEC7DF35D4}">
  <dimension ref="R7"/>
  <sheetViews>
    <sheetView zoomScale="55" zoomScaleNormal="55" workbookViewId="0">
      <selection activeCell="R7" sqref="R7"/>
    </sheetView>
  </sheetViews>
  <sheetFormatPr defaultRowHeight="14" x14ac:dyDescent="0.3"/>
  <sheetData>
    <row r="7" spans="18:18" x14ac:dyDescent="0.3">
      <c r="R7">
        <f>POWER(2.46,2)-0.6667*POWER(1.47,2)-0.3333*1</f>
        <v>4.2776279699999993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09F00-FAE5-4D93-BCA5-C944B812182D}">
  <dimension ref="A1"/>
  <sheetViews>
    <sheetView tabSelected="1"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6Li_19F</vt:lpstr>
      <vt:lpstr>d_23Na</vt:lpstr>
      <vt:lpstr>19F(6Li,d)</vt:lpstr>
      <vt:lpstr>束缚系统</vt:lpstr>
      <vt:lpstr>alpha_19F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张玉强</dc:creator>
  <cp:lastModifiedBy>张玉强</cp:lastModifiedBy>
  <dcterms:created xsi:type="dcterms:W3CDTF">2015-06-05T18:19:34Z</dcterms:created>
  <dcterms:modified xsi:type="dcterms:W3CDTF">2026-01-06T07:45:20Z</dcterms:modified>
</cp:coreProperties>
</file>